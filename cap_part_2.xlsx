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VANYA\Downloads\"/>
    </mc:Choice>
  </mc:AlternateContent>
  <bookViews>
    <workbookView xWindow="0" yWindow="0" windowWidth="19200" windowHeight="7310" activeTab="2"/>
  </bookViews>
  <sheets>
    <sheet name="Sheet3" sheetId="3" r:id="rId1"/>
    <sheet name="city-category_data" sheetId="1" r:id="rId2"/>
    <sheet name="kpi_summary" sheetId="4" r:id="rId3"/>
    <sheet name="category_reference" sheetId="2" r:id="rId4"/>
  </sheets>
  <definedNames>
    <definedName name="city_category_summary" localSheetId="1">'city-category_data'!$A$1:$E$28</definedName>
  </definedNames>
  <calcPr calcId="152511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2" i="4"/>
  <c r="B2" i="4"/>
  <c r="D3" i="4"/>
  <c r="D4" i="4"/>
  <c r="D5" i="4"/>
  <c r="D6" i="4"/>
  <c r="D7" i="4"/>
  <c r="D2" i="4"/>
  <c r="C3" i="4"/>
  <c r="C4" i="4"/>
  <c r="C5" i="4"/>
  <c r="C6" i="4"/>
  <c r="C7" i="4"/>
  <c r="C2" i="4"/>
  <c r="B3" i="4"/>
  <c r="B4" i="4"/>
  <c r="B5" i="4"/>
  <c r="B6" i="4"/>
  <c r="B7" i="4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" i="1"/>
  <c r="F3" i="1"/>
</calcChain>
</file>

<file path=xl/connections.xml><?xml version="1.0" encoding="utf-8"?>
<connections xmlns="http://schemas.openxmlformats.org/spreadsheetml/2006/main">
  <connection id="1" name="city_category_summary" type="6" refreshedVersion="5" background="1" saveData="1">
    <textPr codePage="437" sourceFile="C:\Users\LAVANYA\Downloads\city_category_summary.csv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<sst xmlns="http://schemas.openxmlformats.org/spreadsheetml/2006/main" count="99" uniqueCount="30">
  <si>
    <t>city</t>
  </si>
  <si>
    <t>category</t>
  </si>
  <si>
    <t>bookings_count</t>
  </si>
  <si>
    <t>revenue_inr</t>
  </si>
  <si>
    <t>sla_breaches</t>
  </si>
  <si>
    <t>Bengaluru</t>
  </si>
  <si>
    <t>AC Repair &amp; Service</t>
  </si>
  <si>
    <t>Deep Home Cleaning</t>
  </si>
  <si>
    <t>Electrical Repair</t>
  </si>
  <si>
    <t>Salon for Men</t>
  </si>
  <si>
    <t>Salon for Women</t>
  </si>
  <si>
    <t>Chennai</t>
  </si>
  <si>
    <t>Plumbing</t>
  </si>
  <si>
    <t>Delhi NCR</t>
  </si>
  <si>
    <t>Hyderabad</t>
  </si>
  <si>
    <t>Mumbai</t>
  </si>
  <si>
    <t>Pune</t>
  </si>
  <si>
    <t>min_price_inr</t>
  </si>
  <si>
    <t>max_price_inr</t>
  </si>
  <si>
    <t>Max_price_inr</t>
  </si>
  <si>
    <t>Row Labels</t>
  </si>
  <si>
    <t>Grand Total</t>
  </si>
  <si>
    <t>Column Labels</t>
  </si>
  <si>
    <t>Sum of revenue_inr</t>
  </si>
  <si>
    <t>City</t>
  </si>
  <si>
    <t>total_slr_beaches</t>
  </si>
  <si>
    <t>total_count</t>
  </si>
  <si>
    <t>total_revenue</t>
  </si>
  <si>
    <t>sql_count</t>
  </si>
  <si>
    <t>matched_with_sql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</si>
</sst>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4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theme="9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AVANYA" refreshedDate="46289.761752777777" createdVersion="5" refreshedVersion="5" minRefreshableVersion="3" recordCount="27">
  <cacheSource type="worksheet">
    <worksheetSource ref="A1:G28" sheet="city-category_data"/>
  </cacheSource>
  <cacheFields count="7">
    <cacheField name="city" numFmtId="0">
      <sharedItems count="6">
        <s v="Bengaluru"/>
        <s v="Chennai"/>
        <s v="Delhi NCR"/>
        <s v="Hyderabad"/>
        <s v="Mumbai"/>
        <s v="Pune"/>
      </sharedItems>
    </cacheField>
    <cacheField name="category" numFmtId="0">
      <sharedItems count="6">
        <s v="AC Repair &amp; Service"/>
        <s v="Deep Home Cleaning"/>
        <s v="Electrical Repair"/>
        <s v="Salon for Men"/>
        <s v="Salon for Women"/>
        <s v="Plumbing"/>
      </sharedItems>
    </cacheField>
    <cacheField name="bookings_count" numFmtId="0">
      <sharedItems containsSemiMixedTypes="0" containsString="0" containsNumber="1" containsInteger="1" minValue="6" maxValue="63"/>
    </cacheField>
    <cacheField name="revenue_inr" numFmtId="0">
      <sharedItems containsSemiMixedTypes="0" containsString="0" containsNumber="1" containsInteger="1" minValue="11360" maxValue="121469"/>
    </cacheField>
    <cacheField name="sla_breaches" numFmtId="0">
      <sharedItems containsSemiMixedTypes="0" containsString="0" containsNumber="1" containsInteger="1" minValue="0" maxValue="9"/>
    </cacheField>
    <cacheField name="min_price_inr" numFmtId="0">
      <sharedItems containsSemiMixedTypes="0" containsString="0" containsNumber="1" containsInteger="1" minValue="199" maxValue="999"/>
    </cacheField>
    <cacheField name="Max_price_inr" numFmtId="0">
      <sharedItems containsSemiMixedTypes="0" containsString="0" containsNumber="1" containsInteger="1" minValue="1499" maxValue="4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">
  <r>
    <x v="0"/>
    <x v="0"/>
    <n v="40"/>
    <n v="61229"/>
    <n v="7"/>
    <n v="499"/>
    <n v="2499"/>
  </r>
  <r>
    <x v="0"/>
    <x v="1"/>
    <n v="18"/>
    <n v="49592"/>
    <n v="2"/>
    <n v="999"/>
    <n v="4999"/>
  </r>
  <r>
    <x v="0"/>
    <x v="2"/>
    <n v="19"/>
    <n v="23082"/>
    <n v="3"/>
    <n v="199"/>
    <n v="1999"/>
  </r>
  <r>
    <x v="0"/>
    <x v="3"/>
    <n v="14"/>
    <n v="13565"/>
    <n v="3"/>
    <n v="349"/>
    <n v="1499"/>
  </r>
  <r>
    <x v="0"/>
    <x v="4"/>
    <n v="16"/>
    <n v="32367"/>
    <n v="2"/>
    <n v="699"/>
    <n v="3499"/>
  </r>
  <r>
    <x v="1"/>
    <x v="1"/>
    <n v="37"/>
    <n v="109499"/>
    <n v="5"/>
    <n v="999"/>
    <n v="4999"/>
  </r>
  <r>
    <x v="1"/>
    <x v="2"/>
    <n v="13"/>
    <n v="13044"/>
    <n v="1"/>
    <n v="199"/>
    <n v="1999"/>
  </r>
  <r>
    <x v="1"/>
    <x v="5"/>
    <n v="63"/>
    <n v="53029"/>
    <n v="9"/>
    <n v="199"/>
    <n v="1499"/>
  </r>
  <r>
    <x v="2"/>
    <x v="0"/>
    <n v="14"/>
    <n v="22760"/>
    <n v="0"/>
    <n v="499"/>
    <n v="2499"/>
  </r>
  <r>
    <x v="2"/>
    <x v="1"/>
    <n v="25"/>
    <n v="63041"/>
    <n v="0"/>
    <n v="999"/>
    <n v="4999"/>
  </r>
  <r>
    <x v="2"/>
    <x v="2"/>
    <n v="12"/>
    <n v="12585"/>
    <n v="1"/>
    <n v="199"/>
    <n v="1999"/>
  </r>
  <r>
    <x v="2"/>
    <x v="5"/>
    <n v="19"/>
    <n v="16065"/>
    <n v="3"/>
    <n v="199"/>
    <n v="1499"/>
  </r>
  <r>
    <x v="2"/>
    <x v="4"/>
    <n v="13"/>
    <n v="26320"/>
    <n v="2"/>
    <n v="699"/>
    <n v="3499"/>
  </r>
  <r>
    <x v="3"/>
    <x v="1"/>
    <n v="29"/>
    <n v="91425"/>
    <n v="4"/>
    <n v="999"/>
    <n v="4999"/>
  </r>
  <r>
    <x v="3"/>
    <x v="2"/>
    <n v="27"/>
    <n v="29032"/>
    <n v="3"/>
    <n v="199"/>
    <n v="1999"/>
  </r>
  <r>
    <x v="3"/>
    <x v="5"/>
    <n v="13"/>
    <n v="11743"/>
    <n v="1"/>
    <n v="199"/>
    <n v="1499"/>
  </r>
  <r>
    <x v="3"/>
    <x v="3"/>
    <n v="23"/>
    <n v="22289"/>
    <n v="5"/>
    <n v="349"/>
    <n v="1499"/>
  </r>
  <r>
    <x v="3"/>
    <x v="4"/>
    <n v="6"/>
    <n v="17149"/>
    <n v="1"/>
    <n v="699"/>
    <n v="3499"/>
  </r>
  <r>
    <x v="4"/>
    <x v="0"/>
    <n v="20"/>
    <n v="29050"/>
    <n v="4"/>
    <n v="499"/>
    <n v="2499"/>
  </r>
  <r>
    <x v="4"/>
    <x v="1"/>
    <n v="28"/>
    <n v="73938"/>
    <n v="1"/>
    <n v="999"/>
    <n v="4999"/>
  </r>
  <r>
    <x v="4"/>
    <x v="2"/>
    <n v="11"/>
    <n v="11360"/>
    <n v="2"/>
    <n v="199"/>
    <n v="1999"/>
  </r>
  <r>
    <x v="4"/>
    <x v="3"/>
    <n v="27"/>
    <n v="23901"/>
    <n v="5"/>
    <n v="349"/>
    <n v="1499"/>
  </r>
  <r>
    <x v="4"/>
    <x v="4"/>
    <n v="6"/>
    <n v="13181"/>
    <n v="1"/>
    <n v="699"/>
    <n v="3499"/>
  </r>
  <r>
    <x v="5"/>
    <x v="1"/>
    <n v="39"/>
    <n v="121469"/>
    <n v="9"/>
    <n v="999"/>
    <n v="4999"/>
  </r>
  <r>
    <x v="5"/>
    <x v="2"/>
    <n v="30"/>
    <n v="30778"/>
    <n v="3"/>
    <n v="199"/>
    <n v="1999"/>
  </r>
  <r>
    <x v="5"/>
    <x v="3"/>
    <n v="14"/>
    <n v="13808"/>
    <n v="1"/>
    <n v="349"/>
    <n v="1499"/>
  </r>
  <r>
    <x v="5"/>
    <x v="4"/>
    <n v="24"/>
    <n v="62672"/>
    <n v="1"/>
    <n v="699"/>
    <n v="34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H11" firstHeaderRow="1" firstDataRow="2" firstDataCol="1"/>
  <pivotFields count="7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7">
        <item x="0"/>
        <item x="1"/>
        <item x="2"/>
        <item x="5"/>
        <item x="3"/>
        <item x="4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revenue_inr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city_category_summary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1"/>
  <sheetViews>
    <sheetView workbookViewId="0">
      <selection activeCell="A3" sqref="A3"/>
    </sheetView>
  </sheetViews>
  <sheetFormatPr defaultRowHeight="14.5" x14ac:dyDescent="0.35"/>
  <cols>
    <col min="1" max="1" width="17.36328125" customWidth="1"/>
    <col min="2" max="2" width="17.26953125" bestFit="1" customWidth="1"/>
    <col min="3" max="3" width="18.36328125" bestFit="1" customWidth="1"/>
    <col min="4" max="4" width="14.1796875" bestFit="1" customWidth="1"/>
    <col min="5" max="5" width="8.6328125" customWidth="1"/>
    <col min="6" max="6" width="12.54296875" bestFit="1" customWidth="1"/>
    <col min="7" max="7" width="15.453125" bestFit="1" customWidth="1"/>
    <col min="8" max="8" width="10.7265625" bestFit="1" customWidth="1"/>
  </cols>
  <sheetData>
    <row r="3" spans="1:8" x14ac:dyDescent="0.35">
      <c r="A3" s="3" t="s">
        <v>23</v>
      </c>
      <c r="B3" s="3" t="s">
        <v>22</v>
      </c>
    </row>
    <row r="4" spans="1:8" x14ac:dyDescent="0.35">
      <c r="A4" s="3" t="s">
        <v>20</v>
      </c>
      <c r="B4" t="s">
        <v>6</v>
      </c>
      <c r="C4" t="s">
        <v>7</v>
      </c>
      <c r="D4" t="s">
        <v>8</v>
      </c>
      <c r="E4" t="s">
        <v>12</v>
      </c>
      <c r="F4" t="s">
        <v>9</v>
      </c>
      <c r="G4" t="s">
        <v>10</v>
      </c>
      <c r="H4" t="s">
        <v>21</v>
      </c>
    </row>
    <row r="5" spans="1:8" x14ac:dyDescent="0.35">
      <c r="A5" s="4" t="s">
        <v>5</v>
      </c>
      <c r="B5" s="5">
        <v>61229</v>
      </c>
      <c r="C5" s="5">
        <v>49592</v>
      </c>
      <c r="D5" s="5">
        <v>23082</v>
      </c>
      <c r="E5" s="5"/>
      <c r="F5" s="5">
        <v>13565</v>
      </c>
      <c r="G5" s="5">
        <v>32367</v>
      </c>
      <c r="H5" s="5">
        <v>179835</v>
      </c>
    </row>
    <row r="6" spans="1:8" x14ac:dyDescent="0.35">
      <c r="A6" s="4" t="s">
        <v>11</v>
      </c>
      <c r="B6" s="5"/>
      <c r="C6" s="5">
        <v>109499</v>
      </c>
      <c r="D6" s="5">
        <v>13044</v>
      </c>
      <c r="E6" s="5">
        <v>53029</v>
      </c>
      <c r="F6" s="5"/>
      <c r="G6" s="5"/>
      <c r="H6" s="5">
        <v>175572</v>
      </c>
    </row>
    <row r="7" spans="1:8" x14ac:dyDescent="0.35">
      <c r="A7" s="4" t="s">
        <v>13</v>
      </c>
      <c r="B7" s="5">
        <v>22760</v>
      </c>
      <c r="C7" s="5">
        <v>63041</v>
      </c>
      <c r="D7" s="5">
        <v>12585</v>
      </c>
      <c r="E7" s="5">
        <v>16065</v>
      </c>
      <c r="F7" s="5"/>
      <c r="G7" s="5">
        <v>26320</v>
      </c>
      <c r="H7" s="5">
        <v>140771</v>
      </c>
    </row>
    <row r="8" spans="1:8" x14ac:dyDescent="0.35">
      <c r="A8" s="4" t="s">
        <v>14</v>
      </c>
      <c r="B8" s="5"/>
      <c r="C8" s="5">
        <v>91425</v>
      </c>
      <c r="D8" s="5">
        <v>29032</v>
      </c>
      <c r="E8" s="5">
        <v>11743</v>
      </c>
      <c r="F8" s="5">
        <v>22289</v>
      </c>
      <c r="G8" s="5">
        <v>17149</v>
      </c>
      <c r="H8" s="5">
        <v>171638</v>
      </c>
    </row>
    <row r="9" spans="1:8" x14ac:dyDescent="0.35">
      <c r="A9" s="4" t="s">
        <v>15</v>
      </c>
      <c r="B9" s="5">
        <v>29050</v>
      </c>
      <c r="C9" s="5">
        <v>73938</v>
      </c>
      <c r="D9" s="5">
        <v>11360</v>
      </c>
      <c r="E9" s="5"/>
      <c r="F9" s="5">
        <v>23901</v>
      </c>
      <c r="G9" s="5">
        <v>13181</v>
      </c>
      <c r="H9" s="5">
        <v>151430</v>
      </c>
    </row>
    <row r="10" spans="1:8" x14ac:dyDescent="0.35">
      <c r="A10" s="4" t="s">
        <v>16</v>
      </c>
      <c r="B10" s="5"/>
      <c r="C10" s="5">
        <v>121469</v>
      </c>
      <c r="D10" s="5">
        <v>30778</v>
      </c>
      <c r="E10" s="5"/>
      <c r="F10" s="5">
        <v>13808</v>
      </c>
      <c r="G10" s="5">
        <v>62672</v>
      </c>
      <c r="H10" s="5">
        <v>228727</v>
      </c>
    </row>
    <row r="11" spans="1:8" x14ac:dyDescent="0.35">
      <c r="A11" s="4" t="s">
        <v>21</v>
      </c>
      <c r="B11" s="5">
        <v>113039</v>
      </c>
      <c r="C11" s="5">
        <v>508964</v>
      </c>
      <c r="D11" s="5">
        <v>119881</v>
      </c>
      <c r="E11" s="5">
        <v>80837</v>
      </c>
      <c r="F11" s="5">
        <v>73563</v>
      </c>
      <c r="G11" s="5">
        <v>151689</v>
      </c>
      <c r="H11" s="5">
        <v>1047973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G19" sqref="G19"/>
    </sheetView>
  </sheetViews>
  <sheetFormatPr defaultRowHeight="14.5" x14ac:dyDescent="0.35"/>
  <cols>
    <col min="1" max="1" width="10" bestFit="1" customWidth="1"/>
    <col min="2" max="2" width="18.36328125" bestFit="1" customWidth="1"/>
    <col min="3" max="3" width="14.08984375" bestFit="1" customWidth="1"/>
    <col min="4" max="4" width="10.90625" bestFit="1" customWidth="1"/>
    <col min="5" max="5" width="11.6328125" bestFit="1" customWidth="1"/>
    <col min="6" max="6" width="13.453125" customWidth="1"/>
    <col min="7" max="7" width="14.089843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19</v>
      </c>
    </row>
    <row r="2" spans="1:7" x14ac:dyDescent="0.35">
      <c r="A2" t="s">
        <v>5</v>
      </c>
      <c r="B2" t="s">
        <v>6</v>
      </c>
      <c r="C2">
        <v>40</v>
      </c>
      <c r="D2">
        <v>61229</v>
      </c>
      <c r="E2">
        <v>7</v>
      </c>
      <c r="F2">
        <f>VLOOKUP(B2,category_reference!$A$2:$C$7,2,FALSE)</f>
        <v>499</v>
      </c>
      <c r="G2">
        <f>VLOOKUP(B2,category_reference!$A$2:$C$7,3,FALSE)</f>
        <v>2499</v>
      </c>
    </row>
    <row r="3" spans="1:7" x14ac:dyDescent="0.35">
      <c r="A3" t="s">
        <v>5</v>
      </c>
      <c r="B3" t="s">
        <v>7</v>
      </c>
      <c r="C3">
        <v>18</v>
      </c>
      <c r="D3">
        <v>49592</v>
      </c>
      <c r="E3">
        <v>2</v>
      </c>
      <c r="F3">
        <f>VLOOKUP(B3:B6,category_reference!$A$2:$C$7,2,FALSE)</f>
        <v>999</v>
      </c>
      <c r="G3">
        <f>VLOOKUP(B3,category_reference!$A$2:$C$7,3,FALSE)</f>
        <v>4999</v>
      </c>
    </row>
    <row r="4" spans="1:7" x14ac:dyDescent="0.35">
      <c r="A4" t="s">
        <v>5</v>
      </c>
      <c r="B4" t="s">
        <v>8</v>
      </c>
      <c r="C4">
        <v>19</v>
      </c>
      <c r="D4">
        <v>23082</v>
      </c>
      <c r="E4">
        <v>3</v>
      </c>
      <c r="F4">
        <f>VLOOKUP(B4:B7,category_reference!$A$2:$C$7,2,FALSE)</f>
        <v>199</v>
      </c>
      <c r="G4">
        <f>VLOOKUP(B4,category_reference!$A$2:$C$7,3,FALSE)</f>
        <v>1999</v>
      </c>
    </row>
    <row r="5" spans="1:7" x14ac:dyDescent="0.35">
      <c r="A5" t="s">
        <v>5</v>
      </c>
      <c r="B5" t="s">
        <v>9</v>
      </c>
      <c r="C5">
        <v>14</v>
      </c>
      <c r="D5">
        <v>13565</v>
      </c>
      <c r="E5">
        <v>3</v>
      </c>
      <c r="F5">
        <f>VLOOKUP(B5:B8,category_reference!$A$2:$C$7,2,FALSE)</f>
        <v>349</v>
      </c>
      <c r="G5">
        <f>VLOOKUP(B5,category_reference!$A$2:$C$7,3,FALSE)</f>
        <v>1499</v>
      </c>
    </row>
    <row r="6" spans="1:7" x14ac:dyDescent="0.35">
      <c r="A6" t="s">
        <v>5</v>
      </c>
      <c r="B6" t="s">
        <v>10</v>
      </c>
      <c r="C6">
        <v>16</v>
      </c>
      <c r="D6">
        <v>32367</v>
      </c>
      <c r="E6">
        <v>2</v>
      </c>
      <c r="F6">
        <f>VLOOKUP(B6:B9,category_reference!$A$2:$C$7,2,FALSE)</f>
        <v>699</v>
      </c>
      <c r="G6">
        <f>VLOOKUP(B6,category_reference!$A$2:$C$7,3,FALSE)</f>
        <v>3499</v>
      </c>
    </row>
    <row r="7" spans="1:7" x14ac:dyDescent="0.35">
      <c r="A7" t="s">
        <v>11</v>
      </c>
      <c r="B7" t="s">
        <v>7</v>
      </c>
      <c r="C7">
        <v>37</v>
      </c>
      <c r="D7">
        <v>109499</v>
      </c>
      <c r="E7">
        <v>5</v>
      </c>
      <c r="F7">
        <f>VLOOKUP(B7:B10,category_reference!$A$2:$C$7,2,FALSE)</f>
        <v>999</v>
      </c>
      <c r="G7">
        <f>VLOOKUP(B7,category_reference!$A$2:$C$7,3,FALSE)</f>
        <v>4999</v>
      </c>
    </row>
    <row r="8" spans="1:7" x14ac:dyDescent="0.35">
      <c r="A8" t="s">
        <v>11</v>
      </c>
      <c r="B8" t="s">
        <v>8</v>
      </c>
      <c r="C8">
        <v>13</v>
      </c>
      <c r="D8">
        <v>13044</v>
      </c>
      <c r="E8">
        <v>1</v>
      </c>
      <c r="F8">
        <f>VLOOKUP(B8:B11,category_reference!$A$2:$C$7,2,FALSE)</f>
        <v>199</v>
      </c>
      <c r="G8">
        <f>VLOOKUP(B8,category_reference!$A$2:$C$7,3,FALSE)</f>
        <v>1999</v>
      </c>
    </row>
    <row r="9" spans="1:7" x14ac:dyDescent="0.35">
      <c r="A9" t="s">
        <v>11</v>
      </c>
      <c r="B9" t="s">
        <v>12</v>
      </c>
      <c r="C9">
        <v>63</v>
      </c>
      <c r="D9">
        <v>53029</v>
      </c>
      <c r="E9">
        <v>9</v>
      </c>
      <c r="F9">
        <f>VLOOKUP(B9:B12,category_reference!$A$2:$C$7,2,FALSE)</f>
        <v>199</v>
      </c>
      <c r="G9">
        <f>VLOOKUP(B9,category_reference!$A$2:$C$7,3,FALSE)</f>
        <v>1499</v>
      </c>
    </row>
    <row r="10" spans="1:7" x14ac:dyDescent="0.35">
      <c r="A10" t="s">
        <v>13</v>
      </c>
      <c r="B10" t="s">
        <v>6</v>
      </c>
      <c r="C10">
        <v>14</v>
      </c>
      <c r="D10">
        <v>22760</v>
      </c>
      <c r="E10">
        <v>0</v>
      </c>
      <c r="F10">
        <f>VLOOKUP(B10:B13,category_reference!$A$2:$C$7,2,FALSE)</f>
        <v>499</v>
      </c>
      <c r="G10">
        <f>VLOOKUP(B10,category_reference!$A$2:$C$7,3,FALSE)</f>
        <v>2499</v>
      </c>
    </row>
    <row r="11" spans="1:7" x14ac:dyDescent="0.35">
      <c r="A11" t="s">
        <v>13</v>
      </c>
      <c r="B11" t="s">
        <v>7</v>
      </c>
      <c r="C11">
        <v>25</v>
      </c>
      <c r="D11">
        <v>63041</v>
      </c>
      <c r="E11">
        <v>0</v>
      </c>
      <c r="F11">
        <f>VLOOKUP(B11:B14,category_reference!$A$2:$C$7,2,FALSE)</f>
        <v>999</v>
      </c>
      <c r="G11">
        <f>VLOOKUP(B11,category_reference!$A$2:$C$7,3,FALSE)</f>
        <v>4999</v>
      </c>
    </row>
    <row r="12" spans="1:7" x14ac:dyDescent="0.35">
      <c r="A12" t="s">
        <v>13</v>
      </c>
      <c r="B12" t="s">
        <v>8</v>
      </c>
      <c r="C12">
        <v>12</v>
      </c>
      <c r="D12">
        <v>12585</v>
      </c>
      <c r="E12">
        <v>1</v>
      </c>
      <c r="F12">
        <f>VLOOKUP(B12:B15,category_reference!$A$2:$C$7,2,FALSE)</f>
        <v>199</v>
      </c>
      <c r="G12">
        <f>VLOOKUP(B12,category_reference!$A$2:$C$7,3,FALSE)</f>
        <v>1999</v>
      </c>
    </row>
    <row r="13" spans="1:7" x14ac:dyDescent="0.35">
      <c r="A13" t="s">
        <v>13</v>
      </c>
      <c r="B13" t="s">
        <v>12</v>
      </c>
      <c r="C13">
        <v>19</v>
      </c>
      <c r="D13">
        <v>16065</v>
      </c>
      <c r="E13">
        <v>3</v>
      </c>
      <c r="F13">
        <f>VLOOKUP(B13:B16,category_reference!$A$2:$C$7,2,FALSE)</f>
        <v>199</v>
      </c>
      <c r="G13">
        <f>VLOOKUP(B13,category_reference!$A$2:$C$7,3,FALSE)</f>
        <v>1499</v>
      </c>
    </row>
    <row r="14" spans="1:7" x14ac:dyDescent="0.35">
      <c r="A14" t="s">
        <v>13</v>
      </c>
      <c r="B14" t="s">
        <v>10</v>
      </c>
      <c r="C14">
        <v>13</v>
      </c>
      <c r="D14">
        <v>26320</v>
      </c>
      <c r="E14">
        <v>2</v>
      </c>
      <c r="F14">
        <f>VLOOKUP(B14:B17,category_reference!$A$2:$C$7,2,FALSE)</f>
        <v>699</v>
      </c>
      <c r="G14">
        <f>VLOOKUP(B14,category_reference!$A$2:$C$7,3,FALSE)</f>
        <v>3499</v>
      </c>
    </row>
    <row r="15" spans="1:7" x14ac:dyDescent="0.35">
      <c r="A15" t="s">
        <v>14</v>
      </c>
      <c r="B15" t="s">
        <v>7</v>
      </c>
      <c r="C15">
        <v>29</v>
      </c>
      <c r="D15">
        <v>91425</v>
      </c>
      <c r="E15">
        <v>4</v>
      </c>
      <c r="F15">
        <f>VLOOKUP(B15:B18,category_reference!$A$2:$C$7,2,FALSE)</f>
        <v>999</v>
      </c>
      <c r="G15">
        <f>VLOOKUP(B15,category_reference!$A$2:$C$7,3,FALSE)</f>
        <v>4999</v>
      </c>
    </row>
    <row r="16" spans="1:7" x14ac:dyDescent="0.35">
      <c r="A16" t="s">
        <v>14</v>
      </c>
      <c r="B16" t="s">
        <v>8</v>
      </c>
      <c r="C16">
        <v>27</v>
      </c>
      <c r="D16">
        <v>29032</v>
      </c>
      <c r="E16">
        <v>3</v>
      </c>
      <c r="F16">
        <f>VLOOKUP(B16:B19,category_reference!$A$2:$C$7,2,FALSE)</f>
        <v>199</v>
      </c>
      <c r="G16">
        <f>VLOOKUP(B16,category_reference!$A$2:$C$7,3,FALSE)</f>
        <v>1999</v>
      </c>
    </row>
    <row r="17" spans="1:7" x14ac:dyDescent="0.35">
      <c r="A17" t="s">
        <v>14</v>
      </c>
      <c r="B17" t="s">
        <v>12</v>
      </c>
      <c r="C17">
        <v>13</v>
      </c>
      <c r="D17">
        <v>11743</v>
      </c>
      <c r="E17">
        <v>1</v>
      </c>
      <c r="F17">
        <f>VLOOKUP(B17:B20,category_reference!$A$2:$C$7,2,FALSE)</f>
        <v>199</v>
      </c>
      <c r="G17">
        <f>VLOOKUP(B17,category_reference!$A$2:$C$7,3,FALSE)</f>
        <v>1499</v>
      </c>
    </row>
    <row r="18" spans="1:7" x14ac:dyDescent="0.35">
      <c r="A18" t="s">
        <v>14</v>
      </c>
      <c r="B18" t="s">
        <v>9</v>
      </c>
      <c r="C18">
        <v>23</v>
      </c>
      <c r="D18">
        <v>22289</v>
      </c>
      <c r="E18">
        <v>5</v>
      </c>
      <c r="F18">
        <f>VLOOKUP(B18:B21,category_reference!$A$2:$C$7,2,FALSE)</f>
        <v>349</v>
      </c>
      <c r="G18">
        <f>VLOOKUP(B18,category_reference!$A$2:$C$7,3,FALSE)</f>
        <v>1499</v>
      </c>
    </row>
    <row r="19" spans="1:7" x14ac:dyDescent="0.35">
      <c r="A19" t="s">
        <v>14</v>
      </c>
      <c r="B19" t="s">
        <v>10</v>
      </c>
      <c r="C19">
        <v>6</v>
      </c>
      <c r="D19">
        <v>17149</v>
      </c>
      <c r="E19">
        <v>1</v>
      </c>
      <c r="F19">
        <f>VLOOKUP(B19:B22,category_reference!$A$2:$C$7,2,FALSE)</f>
        <v>699</v>
      </c>
      <c r="G19">
        <f>VLOOKUP(B19,category_reference!$A$2:$C$7,3,FALSE)</f>
        <v>3499</v>
      </c>
    </row>
    <row r="20" spans="1:7" x14ac:dyDescent="0.35">
      <c r="A20" t="s">
        <v>15</v>
      </c>
      <c r="B20" t="s">
        <v>6</v>
      </c>
      <c r="C20">
        <v>20</v>
      </c>
      <c r="D20">
        <v>29050</v>
      </c>
      <c r="E20">
        <v>4</v>
      </c>
      <c r="F20">
        <f>VLOOKUP(B20:B23,category_reference!$A$2:$C$7,2,FALSE)</f>
        <v>499</v>
      </c>
      <c r="G20">
        <f>VLOOKUP(B20,category_reference!$A$2:$C$7,3,FALSE)</f>
        <v>2499</v>
      </c>
    </row>
    <row r="21" spans="1:7" x14ac:dyDescent="0.35">
      <c r="A21" t="s">
        <v>15</v>
      </c>
      <c r="B21" t="s">
        <v>7</v>
      </c>
      <c r="C21">
        <v>28</v>
      </c>
      <c r="D21">
        <v>73938</v>
      </c>
      <c r="E21">
        <v>1</v>
      </c>
      <c r="F21">
        <f>VLOOKUP(B21:B24,category_reference!$A$2:$C$7,2,FALSE)</f>
        <v>999</v>
      </c>
      <c r="G21">
        <f>VLOOKUP(B21,category_reference!$A$2:$C$7,3,FALSE)</f>
        <v>4999</v>
      </c>
    </row>
    <row r="22" spans="1:7" x14ac:dyDescent="0.35">
      <c r="A22" t="s">
        <v>15</v>
      </c>
      <c r="B22" t="s">
        <v>8</v>
      </c>
      <c r="C22">
        <v>11</v>
      </c>
      <c r="D22">
        <v>11360</v>
      </c>
      <c r="E22">
        <v>2</v>
      </c>
      <c r="F22">
        <f>VLOOKUP(B22:B25,category_reference!$A$2:$C$7,2,FALSE)</f>
        <v>199</v>
      </c>
      <c r="G22">
        <f>VLOOKUP(B22,category_reference!$A$2:$C$7,3,FALSE)</f>
        <v>1999</v>
      </c>
    </row>
    <row r="23" spans="1:7" x14ac:dyDescent="0.35">
      <c r="A23" t="s">
        <v>15</v>
      </c>
      <c r="B23" t="s">
        <v>9</v>
      </c>
      <c r="C23">
        <v>27</v>
      </c>
      <c r="D23">
        <v>23901</v>
      </c>
      <c r="E23">
        <v>5</v>
      </c>
      <c r="F23">
        <f>VLOOKUP(B23:B26,category_reference!$A$2:$C$7,2,FALSE)</f>
        <v>349</v>
      </c>
      <c r="G23">
        <f>VLOOKUP(B23,category_reference!$A$2:$C$7,3,FALSE)</f>
        <v>1499</v>
      </c>
    </row>
    <row r="24" spans="1:7" x14ac:dyDescent="0.35">
      <c r="A24" t="s">
        <v>15</v>
      </c>
      <c r="B24" t="s">
        <v>10</v>
      </c>
      <c r="C24">
        <v>6</v>
      </c>
      <c r="D24">
        <v>13181</v>
      </c>
      <c r="E24">
        <v>1</v>
      </c>
      <c r="F24">
        <f>VLOOKUP(B24:B27,category_reference!$A$2:$C$7,2,FALSE)</f>
        <v>699</v>
      </c>
      <c r="G24">
        <f>VLOOKUP(B24,category_reference!$A$2:$C$7,3,FALSE)</f>
        <v>3499</v>
      </c>
    </row>
    <row r="25" spans="1:7" x14ac:dyDescent="0.35">
      <c r="A25" t="s">
        <v>16</v>
      </c>
      <c r="B25" t="s">
        <v>7</v>
      </c>
      <c r="C25">
        <v>39</v>
      </c>
      <c r="D25">
        <v>121469</v>
      </c>
      <c r="E25">
        <v>9</v>
      </c>
      <c r="F25">
        <f>VLOOKUP(B25:B28,category_reference!$A$2:$C$7,2,FALSE)</f>
        <v>999</v>
      </c>
      <c r="G25">
        <f>VLOOKUP(B25,category_reference!$A$2:$C$7,3,FALSE)</f>
        <v>4999</v>
      </c>
    </row>
    <row r="26" spans="1:7" x14ac:dyDescent="0.35">
      <c r="A26" t="s">
        <v>16</v>
      </c>
      <c r="B26" t="s">
        <v>8</v>
      </c>
      <c r="C26">
        <v>30</v>
      </c>
      <c r="D26">
        <v>30778</v>
      </c>
      <c r="E26">
        <v>3</v>
      </c>
      <c r="F26">
        <f>VLOOKUP(B26:B29,category_reference!$A$2:$C$7,2,FALSE)</f>
        <v>199</v>
      </c>
      <c r="G26">
        <f>VLOOKUP(B26,category_reference!$A$2:$C$7,3,FALSE)</f>
        <v>1999</v>
      </c>
    </row>
    <row r="27" spans="1:7" x14ac:dyDescent="0.35">
      <c r="A27" t="s">
        <v>16</v>
      </c>
      <c r="B27" t="s">
        <v>9</v>
      </c>
      <c r="C27">
        <v>14</v>
      </c>
      <c r="D27">
        <v>13808</v>
      </c>
      <c r="E27">
        <v>1</v>
      </c>
      <c r="F27">
        <f>VLOOKUP(B27:B30,category_reference!$A$2:$C$7,2,FALSE)</f>
        <v>349</v>
      </c>
      <c r="G27">
        <f>VLOOKUP(B27,category_reference!$A$2:$C$7,3,FALSE)</f>
        <v>1499</v>
      </c>
    </row>
    <row r="28" spans="1:7" x14ac:dyDescent="0.35">
      <c r="A28" t="s">
        <v>16</v>
      </c>
      <c r="B28" t="s">
        <v>10</v>
      </c>
      <c r="C28">
        <v>24</v>
      </c>
      <c r="D28">
        <v>62672</v>
      </c>
      <c r="E28">
        <v>1</v>
      </c>
      <c r="F28">
        <f>VLOOKUP(B28:B31,category_reference!$A$2:$C$7,2,FALSE)</f>
        <v>699</v>
      </c>
      <c r="G28">
        <f>VLOOKUP(B28,category_reference!$A$2:$C$7,3,FALSE)</f>
        <v>3499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I7" sqref="I7"/>
    </sheetView>
  </sheetViews>
  <sheetFormatPr defaultRowHeight="14.5" x14ac:dyDescent="0.35"/>
  <cols>
    <col min="1" max="1" width="14.81640625" customWidth="1"/>
    <col min="3" max="3" width="15.1796875" customWidth="1"/>
    <col min="5" max="5" width="13.54296875" customWidth="1"/>
    <col min="6" max="6" width="16.08984375" customWidth="1"/>
  </cols>
  <sheetData>
    <row r="1" spans="1:6" x14ac:dyDescent="0.35">
      <c r="A1" t="s">
        <v>24</v>
      </c>
      <c r="B1" t="s">
        <v>27</v>
      </c>
      <c r="C1" t="s">
        <v>25</v>
      </c>
      <c r="D1" t="s">
        <v>26</v>
      </c>
      <c r="E1" t="s">
        <v>28</v>
      </c>
      <c r="F1" t="s">
        <v>29</v>
      </c>
    </row>
    <row r="2" spans="1:6" x14ac:dyDescent="0.35">
      <c r="A2" t="s">
        <v>5</v>
      </c>
      <c r="B2">
        <f>SUMIFS('city-category_data'!$D$2:$D$28,'city-category_data'!$A$2:$A$28,A2)</f>
        <v>179835</v>
      </c>
      <c r="C2">
        <f>SUMIFS('city-category_data'!$E$2:$E$28,'city-category_data'!$A$2:$A$28,A2)</f>
        <v>17</v>
      </c>
      <c r="D2">
        <f>COUNTIFS('city-category_data'!$A$2:$A$28,A2)</f>
        <v>5</v>
      </c>
      <c r="E2">
        <v>179835</v>
      </c>
      <c r="F2" t="str">
        <f>IF(B2=E2,"YES","NO")</f>
        <v>YES</v>
      </c>
    </row>
    <row r="3" spans="1:6" x14ac:dyDescent="0.35">
      <c r="A3" t="s">
        <v>11</v>
      </c>
      <c r="B3">
        <f>SUMIFS('city-category_data'!$D$2:$D$28,'city-category_data'!$A$2:$A$28,A3)</f>
        <v>175572</v>
      </c>
      <c r="C3">
        <f>SUMIFS('city-category_data'!$E$2:$E$28,'city-category_data'!$A$2:$A$28,A3)</f>
        <v>15</v>
      </c>
      <c r="D3">
        <f>COUNTIFS('city-category_data'!$A$2:$A$28,A3)</f>
        <v>3</v>
      </c>
      <c r="E3">
        <v>175572</v>
      </c>
      <c r="F3" t="str">
        <f t="shared" ref="F3:F7" si="0">IF(B3=E3,"YES","NO")</f>
        <v>YES</v>
      </c>
    </row>
    <row r="4" spans="1:6" x14ac:dyDescent="0.35">
      <c r="A4" t="s">
        <v>13</v>
      </c>
      <c r="B4">
        <f>SUMIFS('city-category_data'!$D$2:$D$28,'city-category_data'!$A$2:$A$28,A4)</f>
        <v>140771</v>
      </c>
      <c r="C4">
        <f>SUMIFS('city-category_data'!$E$2:$E$28,'city-category_data'!$A$2:$A$28,A4)</f>
        <v>6</v>
      </c>
      <c r="D4">
        <f>COUNTIFS('city-category_data'!$A$2:$A$28,A4)</f>
        <v>5</v>
      </c>
      <c r="E4">
        <v>140771</v>
      </c>
      <c r="F4" t="str">
        <f t="shared" si="0"/>
        <v>YES</v>
      </c>
    </row>
    <row r="5" spans="1:6" x14ac:dyDescent="0.35">
      <c r="A5" t="s">
        <v>14</v>
      </c>
      <c r="B5">
        <f>SUMIFS('city-category_data'!$D$2:$D$28,'city-category_data'!$A$2:$A$28,A5)</f>
        <v>171638</v>
      </c>
      <c r="C5">
        <f>SUMIFS('city-category_data'!$E$2:$E$28,'city-category_data'!$A$2:$A$28,A5)</f>
        <v>14</v>
      </c>
      <c r="D5">
        <f>COUNTIFS('city-category_data'!$A$2:$A$28,A5)</f>
        <v>5</v>
      </c>
      <c r="E5">
        <v>171638</v>
      </c>
      <c r="F5" t="str">
        <f t="shared" si="0"/>
        <v>YES</v>
      </c>
    </row>
    <row r="6" spans="1:6" x14ac:dyDescent="0.35">
      <c r="A6" t="s">
        <v>15</v>
      </c>
      <c r="B6">
        <f>SUMIFS('city-category_data'!$D$2:$D$28,'city-category_data'!$A$2:$A$28,A6)</f>
        <v>151430</v>
      </c>
      <c r="C6">
        <f>SUMIFS('city-category_data'!$E$2:$E$28,'city-category_data'!$A$2:$A$28,A6)</f>
        <v>13</v>
      </c>
      <c r="D6">
        <f>COUNTIFS('city-category_data'!$A$2:$A$28,A6)</f>
        <v>5</v>
      </c>
      <c r="E6">
        <v>151430</v>
      </c>
      <c r="F6" t="str">
        <f t="shared" si="0"/>
        <v>YES</v>
      </c>
    </row>
    <row r="7" spans="1:6" x14ac:dyDescent="0.35">
      <c r="A7" t="s">
        <v>16</v>
      </c>
      <c r="B7">
        <f>SUMIFS('city-category_data'!$D$2:$D$28,'city-category_data'!$A$2:$A$28,A7)</f>
        <v>228727</v>
      </c>
      <c r="C7">
        <f>SUMIFS('city-category_data'!$E$2:$E$28,'city-category_data'!$A$2:$A$28,A7)</f>
        <v>14</v>
      </c>
      <c r="D7">
        <f>COUNTIFS('city-category_data'!$A$2:$A$28,A7)</f>
        <v>4</v>
      </c>
      <c r="E7">
        <v>228727</v>
      </c>
      <c r="F7" t="str">
        <f t="shared" si="0"/>
        <v>YES</v>
      </c>
    </row>
  </sheetData>
  <conditionalFormatting sqref="B2:B7">
    <cfRule type="expression" dxfId="2" priority="2">
      <formula>B2=MAX($B$2:$B$7)</formula>
    </cfRule>
    <cfRule type="expression" dxfId="1" priority="1">
      <formula>B2=MIN($B$2:$B$7)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B21" sqref="B21"/>
    </sheetView>
  </sheetViews>
  <sheetFormatPr defaultRowHeight="14.5" x14ac:dyDescent="0.35"/>
  <cols>
    <col min="1" max="1" width="15.453125" customWidth="1"/>
    <col min="2" max="2" width="14" customWidth="1"/>
    <col min="3" max="3" width="16" customWidth="1"/>
  </cols>
  <sheetData>
    <row r="1" spans="1:3" x14ac:dyDescent="0.35">
      <c r="A1" s="1" t="s">
        <v>1</v>
      </c>
      <c r="B1" s="1" t="s">
        <v>17</v>
      </c>
      <c r="C1" s="1" t="s">
        <v>18</v>
      </c>
    </row>
    <row r="2" spans="1:3" ht="29" x14ac:dyDescent="0.35">
      <c r="A2" s="2" t="s">
        <v>6</v>
      </c>
      <c r="B2" s="2">
        <v>499</v>
      </c>
      <c r="C2" s="2">
        <v>2499</v>
      </c>
    </row>
    <row r="3" spans="1:3" x14ac:dyDescent="0.35">
      <c r="A3" s="2" t="s">
        <v>10</v>
      </c>
      <c r="B3" s="2">
        <v>699</v>
      </c>
      <c r="C3" s="2">
        <v>3499</v>
      </c>
    </row>
    <row r="4" spans="1:3" x14ac:dyDescent="0.35">
      <c r="A4" s="2" t="s">
        <v>9</v>
      </c>
      <c r="B4" s="2">
        <v>349</v>
      </c>
      <c r="C4" s="2">
        <v>1499</v>
      </c>
    </row>
    <row r="5" spans="1:3" ht="29" x14ac:dyDescent="0.35">
      <c r="A5" s="2" t="s">
        <v>7</v>
      </c>
      <c r="B5" s="2">
        <v>999</v>
      </c>
      <c r="C5" s="2">
        <v>4999</v>
      </c>
    </row>
    <row r="6" spans="1:3" x14ac:dyDescent="0.35">
      <c r="A6" s="2" t="s">
        <v>12</v>
      </c>
      <c r="B6" s="2">
        <v>199</v>
      </c>
      <c r="C6" s="2">
        <v>1499</v>
      </c>
    </row>
    <row r="7" spans="1:3" x14ac:dyDescent="0.35">
      <c r="A7" s="2" t="s">
        <v>8</v>
      </c>
      <c r="B7" s="2">
        <v>199</v>
      </c>
      <c r="C7" s="2">
        <v>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Sheet3</vt:lpstr>
      <vt:lpstr>city-category_data</vt:lpstr>
      <vt:lpstr>kpi_summary</vt:lpstr>
      <vt:lpstr>category_reference</vt:lpstr>
      <vt:lpstr>'city-category_data'!city_category_summary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</dc:creator>
  <cp:lastModifiedBy>LAVANYA</cp:lastModifiedBy>
  <dcterms:created xsi:type="dcterms:W3CDTF">2026-09-24T12:30:42Z</dcterms:created>
  <dcterms:modified xsi:type="dcterms:W3CDTF">2026-09-24T13:57:37Z</dcterms:modified>
</cp:coreProperties>
</file>